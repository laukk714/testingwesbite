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wilsonlkk/Documents/Side Project/NAN Catering/"/>
    </mc:Choice>
  </mc:AlternateContent>
  <xr:revisionPtr revIDLastSave="0" documentId="13_ncr:1_{9250EF1B-0A77-3641-94F5-B61514AB3160}" xr6:coauthVersionLast="47" xr6:coauthVersionMax="47" xr10:uidLastSave="{00000000-0000-0000-0000-000000000000}"/>
  <bookViews>
    <workbookView xWindow="0" yWindow="600" windowWidth="34140" windowHeight="28200" xr2:uid="{75745108-2B46-4CBB-A0D0-09A41D4AB87E}"/>
  </bookViews>
  <sheets>
    <sheet name="menu_master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3" i="4" l="1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</calcChain>
</file>

<file path=xl/sharedStrings.xml><?xml version="1.0" encoding="utf-8"?>
<sst xmlns="http://schemas.openxmlformats.org/spreadsheetml/2006/main" count="485" uniqueCount="128">
  <si>
    <t>原價</t>
  </si>
  <si>
    <t>皇牌推介</t>
  </si>
  <si>
    <t>椰汁桃膠馬蹄爆爆珠</t>
  </si>
  <si>
    <t>菊花馬蹄爽(低糖)</t>
  </si>
  <si>
    <t>350ml</t>
  </si>
  <si>
    <t>竹蔗茅根檸檬水(低糖)</t>
  </si>
  <si>
    <t>雪梨白涼粉冬瓜茶</t>
  </si>
  <si>
    <t>椰汁西米斑斕凍</t>
  </si>
  <si>
    <t>紅豆芋泥椰汁</t>
  </si>
  <si>
    <t>桃膠椰汁西米</t>
  </si>
  <si>
    <t>菠蘿脆皮椰汁</t>
  </si>
  <si>
    <t>爆蒜雞中翼</t>
  </si>
  <si>
    <t>麻辣鮮花椒乾撈鮑魚</t>
  </si>
  <si>
    <t>1人份(10粒)</t>
  </si>
  <si>
    <t>芥末蝦球配炸饅頭底</t>
  </si>
  <si>
    <t>懷舊手工百花釀蟹鉗</t>
  </si>
  <si>
    <t>一口芝士肉醬焗意粉</t>
  </si>
  <si>
    <t>涼拌麻醬低溫慢煮雞絲粉皮</t>
  </si>
  <si>
    <t>凍食佳（唔使加熱）</t>
  </si>
  <si>
    <t>微辣</t>
  </si>
  <si>
    <t>建議60分鐘內食用</t>
  </si>
  <si>
    <t>糖水</t>
  </si>
  <si>
    <t>芒果系列</t>
  </si>
  <si>
    <t>椰汁系列</t>
  </si>
  <si>
    <t>真打開心果糊</t>
  </si>
  <si>
    <t>真打系列/其他</t>
  </si>
  <si>
    <t>Y</t>
  </si>
  <si>
    <t>含堅果</t>
  </si>
  <si>
    <t>飲品</t>
  </si>
  <si>
    <t>N</t>
  </si>
  <si>
    <t>小食</t>
  </si>
  <si>
    <t>免餐具（單手食得）</t>
  </si>
  <si>
    <t>素食/可走葷</t>
  </si>
  <si>
    <t>項目編號</t>
  </si>
  <si>
    <t>排序</t>
  </si>
  <si>
    <t>大類</t>
  </si>
  <si>
    <t>子分類</t>
  </si>
  <si>
    <t>名稱</t>
  </si>
  <si>
    <t>份量</t>
  </si>
  <si>
    <t>每份數量</t>
  </si>
  <si>
    <t>單位</t>
  </si>
  <si>
    <t>起訂份數</t>
  </si>
  <si>
    <t>會員價</t>
  </si>
  <si>
    <t>折扣%</t>
  </si>
  <si>
    <t>上架</t>
  </si>
  <si>
    <t>產品描述</t>
  </si>
  <si>
    <t>圖片檔名</t>
  </si>
  <si>
    <t>DS01</t>
  </si>
  <si>
    <t>楊枝甘露</t>
  </si>
  <si>
    <t>ml</t>
  </si>
  <si>
    <t>DS02</t>
  </si>
  <si>
    <t>芒果西米小丸子</t>
  </si>
  <si>
    <t>DS03</t>
  </si>
  <si>
    <t>芒果西米三色芋圓</t>
  </si>
  <si>
    <t>DS04</t>
  </si>
  <si>
    <t>椰汁斑斕大滿貫</t>
  </si>
  <si>
    <t>DS05</t>
  </si>
  <si>
    <t>DS06</t>
  </si>
  <si>
    <t>椰汁桃膠三色芋圓</t>
  </si>
  <si>
    <t>DS07</t>
  </si>
  <si>
    <t>DS08</t>
  </si>
  <si>
    <t>真打芝麻糊</t>
  </si>
  <si>
    <t>DS09</t>
  </si>
  <si>
    <t>冬瓜雪梨海底椰</t>
  </si>
  <si>
    <t>DR01</t>
  </si>
  <si>
    <t>低糖系列</t>
  </si>
  <si>
    <t>DR02</t>
  </si>
  <si>
    <t>DR03</t>
  </si>
  <si>
    <t>涼茶系列</t>
  </si>
  <si>
    <t>DR04</t>
  </si>
  <si>
    <t>DR05</t>
  </si>
  <si>
    <t>DR06</t>
  </si>
  <si>
    <t>DR07</t>
  </si>
  <si>
    <t>DR08</t>
  </si>
  <si>
    <t>SN01</t>
  </si>
  <si>
    <t>雞翼系列</t>
  </si>
  <si>
    <t>瑞士雞翼</t>
  </si>
  <si>
    <t>1份(10隻)</t>
  </si>
  <si>
    <t>隻</t>
  </si>
  <si>
    <t>SN02</t>
  </si>
  <si>
    <t>SN03</t>
  </si>
  <si>
    <t>爆蒜雞翼尖</t>
  </si>
  <si>
    <t>1份(20隻)</t>
  </si>
  <si>
    <t>SN04</t>
  </si>
  <si>
    <t>咖哩系列</t>
  </si>
  <si>
    <t>咖哩三重奏</t>
  </si>
  <si>
    <t>件</t>
  </si>
  <si>
    <t>SN05</t>
  </si>
  <si>
    <t>海鮮系列</t>
  </si>
  <si>
    <t>SN06</t>
  </si>
  <si>
    <t>炸物系列</t>
  </si>
  <si>
    <t>一口乾坤咕嚕肉</t>
  </si>
  <si>
    <t>粒</t>
  </si>
  <si>
    <t>SN07</t>
  </si>
  <si>
    <t>1人份(5件起)</t>
  </si>
  <si>
    <t>SN08</t>
  </si>
  <si>
    <t>SN09</t>
  </si>
  <si>
    <t>炸豆卜豬肉丸</t>
  </si>
  <si>
    <t>1份(15粒)</t>
  </si>
  <si>
    <t>SN10</t>
  </si>
  <si>
    <t>炸腐皮韭菜餃</t>
  </si>
  <si>
    <t>SN11</t>
  </si>
  <si>
    <t>一口杯系列</t>
  </si>
  <si>
    <t>一口柱侯牛肋條撈陳村粉</t>
  </si>
  <si>
    <t>1份(5杯)</t>
  </si>
  <si>
    <t>杯</t>
  </si>
  <si>
    <t>SN12</t>
  </si>
  <si>
    <t>一口鹽水鴨胸撈陳村粉</t>
  </si>
  <si>
    <t>SN13</t>
  </si>
  <si>
    <t>一口麻辣皮蛋花甲米線</t>
  </si>
  <si>
    <t>1份(10杯)</t>
  </si>
  <si>
    <t>SN14</t>
  </si>
  <si>
    <t>SN15</t>
  </si>
  <si>
    <t>1份 = 40件（麵筋10・魚蛋20・蘿蔔10）</t>
  </si>
  <si>
    <t>楊枝甘露.JPG</t>
  </si>
  <si>
    <t>菊花馬蹄爽.JPG</t>
  </si>
  <si>
    <t>竹蔗茅根水.JPG</t>
  </si>
  <si>
    <t>雪梨白涼粉冬瓜茶.JPG</t>
  </si>
  <si>
    <t>椰汁斑蘭凍.JPG</t>
  </si>
  <si>
    <t>紅豆芋泥椰汁.JPG</t>
  </si>
  <si>
    <t>桃膠椰汁西米.JPG</t>
  </si>
  <si>
    <t>麻辣鮮花椒乾撈鮑魚.JPG</t>
  </si>
  <si>
    <t>一口乾坤咕嚕肉.JPG</t>
  </si>
  <si>
    <t>芥末蝦球配炸饅頭底.JPG</t>
  </si>
  <si>
    <t>懷舊手工百花釀蟹鉗.JPG</t>
  </si>
  <si>
    <t>一口麻辣皮蛋花甲米線_2.JPG</t>
  </si>
  <si>
    <t>一口芝士肉醬焗意粉.JPG</t>
  </si>
  <si>
    <t>涼拌麻醬低溫慢煮雞絲粉皮.JPG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</si>
</sst>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HK$&quot;#,##0"/>
    <numFmt numFmtId="165" formatCode="0.0%"/>
  </numFmts>
  <fonts count="4" x14ac:knownFonts="1">
    <font>
      <sz val="12"/>
      <color theme="1"/>
      <name val="Aptos Narrow"/>
      <family val="2"/>
      <charset val="136"/>
      <scheme val="minor"/>
    </font>
    <font>
      <b/>
      <sz val="12"/>
      <color rgb="FFFFFFFF"/>
      <name val="Aptos Narrow"/>
      <family val="2"/>
      <charset val="136"/>
      <scheme val="minor"/>
    </font>
    <font>
      <sz val="12"/>
      <color rgb="FF0000FF"/>
      <name val="Aptos Narrow"/>
      <family val="2"/>
      <charset val="136"/>
      <scheme val="minor"/>
    </font>
    <font>
      <sz val="12"/>
      <color rgb="FF000000"/>
      <name val="Aptos Narrow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4823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64" fontId="2" fillId="0" borderId="0" xfId="0" applyNumberFormat="1" applyFont="1">
      <alignment vertical="center"/>
    </xf>
    <xf numFmtId="0" fontId="2" fillId="0" borderId="0" xfId="0" applyFont="1">
      <alignment vertical="center"/>
    </xf>
    <xf numFmtId="165" fontId="3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18">
    <dxf>
      <font>
        <color rgb="FF0000FF"/>
      </font>
      <alignment horizontal="center"/>
    </dxf>
    <dxf>
      <font>
        <color rgb="FF0000FF"/>
      </font>
      <alignment horizontal="center"/>
    </dxf>
    <dxf>
      <font>
        <color rgb="FF0000FF"/>
      </font>
      <alignment horizontal="center"/>
    </dxf>
    <dxf>
      <font>
        <color rgb="FF0000FF"/>
      </font>
      <alignment horizontal="center"/>
    </dxf>
    <dxf>
      <font>
        <color rgb="FF0000FF"/>
      </font>
      <alignment horizontal="center"/>
    </dxf>
    <dxf>
      <font>
        <color rgb="FF0000FF"/>
      </font>
      <alignment horizontal="center"/>
    </dxf>
    <dxf>
      <font>
        <color rgb="FF0000FF"/>
      </font>
      <alignment horizontal="center"/>
    </dxf>
    <dxf>
      <font>
        <color rgb="FF0000FF"/>
      </font>
      <alignment horizontal="center"/>
    </dxf>
    <dxf>
      <font>
        <color rgb="FF000000"/>
      </font>
      <numFmt numFmtId="165" formatCode="0.0%"/>
    </dxf>
    <dxf>
      <font>
        <color rgb="FF0000FF"/>
      </font>
      <numFmt numFmtId="164" formatCode="&quot;HK$&quot;#,##0"/>
    </dxf>
    <dxf>
      <font>
        <color rgb="FF0000FF"/>
      </font>
      <numFmt numFmtId="164" formatCode="&quot;HK$&quot;#,##0"/>
    </dxf>
    <dxf>
      <numFmt numFmtId="1" formatCode="0"/>
      <alignment horizontal="center"/>
    </dxf>
    <dxf>
      <numFmt numFmtId="1" formatCode="0"/>
      <alignment horizontal="center"/>
    </dxf>
    <dxf>
      <numFmt numFmtId="1" formatCode="0"/>
      <alignment horizontal="center"/>
    </dxf>
    <dxf>
      <font>
        <color rgb="FF0000FF"/>
      </font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charset val="136"/>
        <scheme val="minor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102E4B-96E5-8043-9C27-140731C6FC83}" name="MenuMaster" displayName="MenuMaster" ref="A1:V33" totalsRowShown="0" headerRowDxfId="17">
  <autoFilter ref="A1:V33" xr:uid="{22102E4B-96E5-8043-9C27-140731C6FC83}"/>
  <tableColumns count="22">
    <tableColumn id="1" xr3:uid="{969830A8-38B4-AB4D-93E5-2DC91AC716EA}" name="項目編號" dataDxfId="16"/>
    <tableColumn id="2" xr3:uid="{F7D24994-6DF0-1C4D-BCAA-B4296418A11B}" name="排序" dataDxfId="15"/>
    <tableColumn id="3" xr3:uid="{9F5109BF-DE7A-E04D-A736-D1CF07C41D92}" name="大類"/>
    <tableColumn id="4" xr3:uid="{0ADBAD47-1550-0840-80AE-745AC65C615D}" name="子分類" dataDxfId="14"/>
    <tableColumn id="5" xr3:uid="{7FD2DAD0-D98F-874C-94FD-4BB8D97EEED1}" name="名稱"/>
    <tableColumn id="6" xr3:uid="{21697D15-5832-A24F-A0B3-2ACE0B21A604}" name="份量"/>
    <tableColumn id="7" xr3:uid="{0D5EFE74-B7F2-6B47-8B20-08E69659E1A1}" name="每份數量" dataDxfId="13"/>
    <tableColumn id="8" xr3:uid="{1A4F5017-0376-4D49-8D51-290ED24ED11D}" name="單位" dataDxfId="12"/>
    <tableColumn id="9" xr3:uid="{A6F81DB3-3EFB-E64D-9ABC-4161279C2CAB}" name="起訂份數" dataDxfId="11"/>
    <tableColumn id="10" xr3:uid="{0B3BCECB-1927-1245-82E5-1F1ECA5286A3}" name="原價" dataDxfId="10"/>
    <tableColumn id="11" xr3:uid="{24B76A1A-89F7-C54D-BA5D-04EF2337FEE2}" name="會員價" dataDxfId="9"/>
    <tableColumn id="12" xr3:uid="{8C6436A9-2B3C-4846-A52D-9B6BEFB85E43}" name="折扣%" dataDxfId="8">
      <calculatedColumnFormula>IF(OR(J2="",K2=""),"",1-K2/J2)</calculatedColumnFormula>
    </tableColumn>
    <tableColumn id="13" xr3:uid="{84989F86-CBA0-194F-90F7-30D91E802ED2}" name="皇牌推介" dataDxfId="7"/>
    <tableColumn id="14" xr3:uid="{B3AF7A0E-5903-E344-B791-25BBD4D50EDB}" name="上架" dataDxfId="6"/>
    <tableColumn id="15" xr3:uid="{4324D852-08E6-1949-8BDA-73B2A14E1E5C}" name="凍食佳（唔使加熱）" dataDxfId="5"/>
    <tableColumn id="16" xr3:uid="{02DC2816-38C6-3943-AE64-E1328C8B5952}" name="免餐具（單手食得）" dataDxfId="4"/>
    <tableColumn id="17" xr3:uid="{B4124249-0AD0-C146-BD93-63A8CFB57352}" name="建議60分鐘內食用" dataDxfId="3"/>
    <tableColumn id="18" xr3:uid="{5A743F81-7D10-A948-BA61-727FB99428FA}" name="含堅果" dataDxfId="2"/>
    <tableColumn id="19" xr3:uid="{354E734C-DEFD-B54F-BEE4-23BA4D0830B9}" name="微辣" dataDxfId="1"/>
    <tableColumn id="20" xr3:uid="{8DF838B2-73D4-6E4B-99D9-C6B145BD29BC}" name="素食/可走葷" dataDxfId="0"/>
    <tableColumn id="21" xr3:uid="{CA00967E-221F-C749-824D-F68096217508}" name="產品描述"/>
    <tableColumn id="22" xr3:uid="{ACAEAB79-15CA-EE4E-AE21-D042E75CD598}" name="圖片檔名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041D94-0072-5040-940E-42C721A399C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c368aac-09a3-417c-b52a-afe270d4d64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291CE-B446-EF41-AA84-4FF9F2C4EC03}">
  <dimension ref="A1:V33"/>
  <sheetViews>
    <sheetView tabSelected="1" zoomScale="125" workbookViewId="0">
      <pane xSplit="2" ySplit="1" topLeftCell="L2" activePane="bottomRight" state="frozen"/>
      <selection pane="topRight" activeCell="C1" sqref="C1"/>
      <selection pane="bottomLeft" activeCell="A2" sqref="A2"/>
      <selection pane="bottomRight" activeCell="U40" sqref="U40"/>
    </sheetView>
  </sheetViews>
  <sheetFormatPr baseColWidth="10" defaultRowHeight="16" x14ac:dyDescent="0.2"/>
  <cols>
    <col min="1" max="1" width="11.6640625" customWidth="1"/>
    <col min="2" max="2" width="7.5" customWidth="1"/>
    <col min="3" max="3" width="9.1640625" customWidth="1"/>
    <col min="4" max="4" width="24.33203125" customWidth="1"/>
    <col min="5" max="5" width="33.33203125" customWidth="1"/>
    <col min="6" max="6" width="14.5" customWidth="1"/>
    <col min="7" max="7" width="10.83203125" customWidth="1"/>
    <col min="8" max="8" width="7.5" customWidth="1"/>
    <col min="9" max="10" width="10" customWidth="1"/>
    <col min="12" max="12" width="10" customWidth="1"/>
    <col min="13" max="13" width="9.1640625" customWidth="1"/>
    <col min="14" max="14" width="7.5" customWidth="1"/>
    <col min="15" max="17" width="10" customWidth="1"/>
    <col min="18" max="19" width="8.33203125" customWidth="1"/>
    <col min="20" max="20" width="10" customWidth="1"/>
    <col min="21" max="21" width="30" customWidth="1"/>
    <col min="22" max="22" width="18.33203125" customWidth="1"/>
  </cols>
  <sheetData>
    <row r="1" spans="1:22" ht="46" customHeight="1" x14ac:dyDescent="0.2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0</v>
      </c>
      <c r="K1" s="1" t="s">
        <v>42</v>
      </c>
      <c r="L1" s="1" t="s">
        <v>43</v>
      </c>
      <c r="M1" s="1" t="s">
        <v>1</v>
      </c>
      <c r="N1" s="1" t="s">
        <v>44</v>
      </c>
      <c r="O1" s="2" t="s">
        <v>18</v>
      </c>
      <c r="P1" s="2" t="s">
        <v>31</v>
      </c>
      <c r="Q1" s="2" t="s">
        <v>20</v>
      </c>
      <c r="R1" s="3" t="s">
        <v>27</v>
      </c>
      <c r="S1" s="3" t="s">
        <v>19</v>
      </c>
      <c r="T1" s="3" t="s">
        <v>32</v>
      </c>
      <c r="U1" s="1" t="s">
        <v>45</v>
      </c>
      <c r="V1" s="1" t="s">
        <v>46</v>
      </c>
    </row>
    <row r="2" spans="1:22" x14ac:dyDescent="0.2">
      <c r="A2" s="8" t="s">
        <v>47</v>
      </c>
      <c r="B2" s="8">
        <v>1</v>
      </c>
      <c r="C2" t="s">
        <v>21</v>
      </c>
      <c r="D2" s="5" t="s">
        <v>22</v>
      </c>
      <c r="E2" t="s">
        <v>48</v>
      </c>
      <c r="F2" t="s">
        <v>4</v>
      </c>
      <c r="G2" s="9">
        <v>350</v>
      </c>
      <c r="H2" s="9" t="s">
        <v>49</v>
      </c>
      <c r="I2" s="9">
        <v>1</v>
      </c>
      <c r="J2" s="4">
        <v>43</v>
      </c>
      <c r="K2" s="4">
        <v>38</v>
      </c>
      <c r="L2" s="6">
        <f>IF(OR(J2="",K2=""),"",1-K2/J2)</f>
        <v>0.11627906976744184</v>
      </c>
      <c r="M2" s="7" t="s">
        <v>26</v>
      </c>
      <c r="N2" s="7" t="s">
        <v>26</v>
      </c>
      <c r="O2" s="7" t="s">
        <v>26</v>
      </c>
      <c r="P2" s="7" t="s">
        <v>29</v>
      </c>
      <c r="Q2" s="7" t="s">
        <v>29</v>
      </c>
      <c r="R2" s="7" t="s">
        <v>29</v>
      </c>
      <c r="S2" s="7" t="s">
        <v>29</v>
      </c>
      <c r="T2" s="7" t="s">
        <v>29</v>
      </c>
      <c r="V2" t="s">
        <v>114</v>
      </c>
    </row>
    <row r="3" spans="1:22" x14ac:dyDescent="0.2">
      <c r="A3" s="8" t="s">
        <v>50</v>
      </c>
      <c r="B3" s="8">
        <v>2</v>
      </c>
      <c r="C3" t="s">
        <v>21</v>
      </c>
      <c r="D3" s="5" t="s">
        <v>22</v>
      </c>
      <c r="E3" t="s">
        <v>51</v>
      </c>
      <c r="F3" t="s">
        <v>4</v>
      </c>
      <c r="G3" s="9">
        <v>350</v>
      </c>
      <c r="H3" s="9" t="s">
        <v>49</v>
      </c>
      <c r="I3" s="9">
        <v>1</v>
      </c>
      <c r="J3" s="4">
        <v>38</v>
      </c>
      <c r="K3" s="4">
        <v>34</v>
      </c>
      <c r="L3" s="6">
        <f t="shared" ref="L3:L33" si="0">IF(OR(J3="",K3=""),"",1-K3/J3)</f>
        <v>0.10526315789473684</v>
      </c>
      <c r="M3" s="7" t="s">
        <v>29</v>
      </c>
      <c r="N3" s="7" t="s">
        <v>26</v>
      </c>
      <c r="O3" s="7" t="s">
        <v>26</v>
      </c>
      <c r="P3" s="7" t="s">
        <v>29</v>
      </c>
      <c r="Q3" s="7" t="s">
        <v>29</v>
      </c>
      <c r="R3" s="7" t="s">
        <v>29</v>
      </c>
      <c r="S3" s="7" t="s">
        <v>29</v>
      </c>
      <c r="T3" s="7" t="s">
        <v>29</v>
      </c>
    </row>
    <row r="4" spans="1:22" x14ac:dyDescent="0.2">
      <c r="A4" s="8" t="s">
        <v>52</v>
      </c>
      <c r="B4" s="8">
        <v>3</v>
      </c>
      <c r="C4" t="s">
        <v>21</v>
      </c>
      <c r="D4" s="5" t="s">
        <v>22</v>
      </c>
      <c r="E4" t="s">
        <v>53</v>
      </c>
      <c r="F4" t="s">
        <v>4</v>
      </c>
      <c r="G4" s="9">
        <v>350</v>
      </c>
      <c r="H4" s="9" t="s">
        <v>49</v>
      </c>
      <c r="I4" s="9">
        <v>1</v>
      </c>
      <c r="J4" s="4">
        <v>38</v>
      </c>
      <c r="K4" s="4">
        <v>34</v>
      </c>
      <c r="L4" s="6">
        <f t="shared" si="0"/>
        <v>0.10526315789473684</v>
      </c>
      <c r="M4" s="7" t="s">
        <v>29</v>
      </c>
      <c r="N4" s="7" t="s">
        <v>26</v>
      </c>
      <c r="O4" s="7" t="s">
        <v>26</v>
      </c>
      <c r="P4" s="7" t="s">
        <v>29</v>
      </c>
      <c r="Q4" s="7" t="s">
        <v>29</v>
      </c>
      <c r="R4" s="7" t="s">
        <v>29</v>
      </c>
      <c r="S4" s="7" t="s">
        <v>29</v>
      </c>
      <c r="T4" s="7" t="s">
        <v>29</v>
      </c>
    </row>
    <row r="5" spans="1:22" x14ac:dyDescent="0.2">
      <c r="A5" s="8" t="s">
        <v>54</v>
      </c>
      <c r="B5" s="8">
        <v>4</v>
      </c>
      <c r="C5" t="s">
        <v>21</v>
      </c>
      <c r="D5" s="5" t="s">
        <v>23</v>
      </c>
      <c r="E5" t="s">
        <v>55</v>
      </c>
      <c r="F5" t="s">
        <v>4</v>
      </c>
      <c r="G5" s="9">
        <v>350</v>
      </c>
      <c r="H5" s="9" t="s">
        <v>49</v>
      </c>
      <c r="I5" s="9">
        <v>1</v>
      </c>
      <c r="J5" s="4">
        <v>43</v>
      </c>
      <c r="K5" s="4">
        <v>38</v>
      </c>
      <c r="L5" s="6">
        <f t="shared" si="0"/>
        <v>0.11627906976744184</v>
      </c>
      <c r="M5" s="7" t="s">
        <v>29</v>
      </c>
      <c r="N5" s="7" t="s">
        <v>26</v>
      </c>
      <c r="O5" s="7" t="s">
        <v>26</v>
      </c>
      <c r="P5" s="7" t="s">
        <v>29</v>
      </c>
      <c r="Q5" s="7" t="s">
        <v>29</v>
      </c>
      <c r="R5" s="7" t="s">
        <v>29</v>
      </c>
      <c r="S5" s="7" t="s">
        <v>29</v>
      </c>
      <c r="T5" s="7" t="s">
        <v>29</v>
      </c>
    </row>
    <row r="6" spans="1:22" x14ac:dyDescent="0.2">
      <c r="A6" s="8" t="s">
        <v>56</v>
      </c>
      <c r="B6" s="8">
        <v>5</v>
      </c>
      <c r="C6" t="s">
        <v>21</v>
      </c>
      <c r="D6" s="5" t="s">
        <v>23</v>
      </c>
      <c r="E6" t="s">
        <v>2</v>
      </c>
      <c r="F6" t="s">
        <v>4</v>
      </c>
      <c r="G6" s="9">
        <v>350</v>
      </c>
      <c r="H6" s="9" t="s">
        <v>49</v>
      </c>
      <c r="I6" s="9">
        <v>1</v>
      </c>
      <c r="J6" s="4">
        <v>38</v>
      </c>
      <c r="K6" s="4">
        <v>34</v>
      </c>
      <c r="L6" s="6">
        <f t="shared" si="0"/>
        <v>0.10526315789473684</v>
      </c>
      <c r="M6" s="7" t="s">
        <v>29</v>
      </c>
      <c r="N6" s="7" t="s">
        <v>26</v>
      </c>
      <c r="O6" s="7" t="s">
        <v>26</v>
      </c>
      <c r="P6" s="7" t="s">
        <v>29</v>
      </c>
      <c r="Q6" s="7" t="s">
        <v>29</v>
      </c>
      <c r="R6" s="7" t="s">
        <v>29</v>
      </c>
      <c r="S6" s="7" t="s">
        <v>29</v>
      </c>
      <c r="T6" s="7" t="s">
        <v>29</v>
      </c>
    </row>
    <row r="7" spans="1:22" x14ac:dyDescent="0.2">
      <c r="A7" s="8" t="s">
        <v>57</v>
      </c>
      <c r="B7" s="8">
        <v>6</v>
      </c>
      <c r="C7" t="s">
        <v>21</v>
      </c>
      <c r="D7" s="5" t="s">
        <v>23</v>
      </c>
      <c r="E7" t="s">
        <v>58</v>
      </c>
      <c r="F7" t="s">
        <v>4</v>
      </c>
      <c r="G7" s="9">
        <v>350</v>
      </c>
      <c r="H7" s="9" t="s">
        <v>49</v>
      </c>
      <c r="I7" s="9">
        <v>1</v>
      </c>
      <c r="J7" s="4">
        <v>38</v>
      </c>
      <c r="K7" s="4">
        <v>34</v>
      </c>
      <c r="L7" s="6">
        <f t="shared" si="0"/>
        <v>0.10526315789473684</v>
      </c>
      <c r="M7" s="7" t="s">
        <v>29</v>
      </c>
      <c r="N7" s="7" t="s">
        <v>26</v>
      </c>
      <c r="O7" s="7" t="s">
        <v>26</v>
      </c>
      <c r="P7" s="7" t="s">
        <v>29</v>
      </c>
      <c r="Q7" s="7" t="s">
        <v>29</v>
      </c>
      <c r="R7" s="7" t="s">
        <v>29</v>
      </c>
      <c r="S7" s="7" t="s">
        <v>29</v>
      </c>
      <c r="T7" s="7" t="s">
        <v>29</v>
      </c>
    </row>
    <row r="8" spans="1:22" x14ac:dyDescent="0.2">
      <c r="A8" s="8" t="s">
        <v>59</v>
      </c>
      <c r="B8" s="8">
        <v>7</v>
      </c>
      <c r="C8" t="s">
        <v>21</v>
      </c>
      <c r="D8" s="5" t="s">
        <v>25</v>
      </c>
      <c r="E8" t="s">
        <v>24</v>
      </c>
      <c r="F8" t="s">
        <v>4</v>
      </c>
      <c r="G8" s="9">
        <v>350</v>
      </c>
      <c r="H8" s="9" t="s">
        <v>49</v>
      </c>
      <c r="I8" s="9">
        <v>1</v>
      </c>
      <c r="J8" s="4">
        <v>45</v>
      </c>
      <c r="K8" s="4">
        <v>40</v>
      </c>
      <c r="L8" s="6">
        <f t="shared" si="0"/>
        <v>0.11111111111111116</v>
      </c>
      <c r="M8" s="7" t="s">
        <v>29</v>
      </c>
      <c r="N8" s="7" t="s">
        <v>26</v>
      </c>
      <c r="O8" s="7" t="s">
        <v>26</v>
      </c>
      <c r="P8" s="7" t="s">
        <v>29</v>
      </c>
      <c r="Q8" s="7" t="s">
        <v>29</v>
      </c>
      <c r="R8" s="7" t="s">
        <v>26</v>
      </c>
      <c r="S8" s="7" t="s">
        <v>29</v>
      </c>
      <c r="T8" s="7" t="s">
        <v>29</v>
      </c>
    </row>
    <row r="9" spans="1:22" x14ac:dyDescent="0.2">
      <c r="A9" s="8" t="s">
        <v>60</v>
      </c>
      <c r="B9" s="8">
        <v>8</v>
      </c>
      <c r="C9" t="s">
        <v>21</v>
      </c>
      <c r="D9" s="5" t="s">
        <v>25</v>
      </c>
      <c r="E9" t="s">
        <v>61</v>
      </c>
      <c r="F9" t="s">
        <v>4</v>
      </c>
      <c r="G9" s="9">
        <v>350</v>
      </c>
      <c r="H9" s="9" t="s">
        <v>49</v>
      </c>
      <c r="I9" s="9">
        <v>1</v>
      </c>
      <c r="J9" s="4">
        <v>33</v>
      </c>
      <c r="K9" s="4">
        <v>30</v>
      </c>
      <c r="L9" s="6">
        <f t="shared" si="0"/>
        <v>9.0909090909090939E-2</v>
      </c>
      <c r="M9" s="7" t="s">
        <v>29</v>
      </c>
      <c r="N9" s="7" t="s">
        <v>26</v>
      </c>
      <c r="O9" s="7" t="s">
        <v>26</v>
      </c>
      <c r="P9" s="7" t="s">
        <v>29</v>
      </c>
      <c r="Q9" s="7" t="s">
        <v>29</v>
      </c>
      <c r="R9" s="7" t="s">
        <v>29</v>
      </c>
      <c r="S9" s="7" t="s">
        <v>29</v>
      </c>
      <c r="T9" s="7" t="s">
        <v>29</v>
      </c>
    </row>
    <row r="10" spans="1:22" x14ac:dyDescent="0.2">
      <c r="A10" s="8" t="s">
        <v>62</v>
      </c>
      <c r="B10" s="8">
        <v>9</v>
      </c>
      <c r="C10" t="s">
        <v>21</v>
      </c>
      <c r="D10" s="5" t="s">
        <v>25</v>
      </c>
      <c r="E10" t="s">
        <v>63</v>
      </c>
      <c r="F10" t="s">
        <v>4</v>
      </c>
      <c r="G10" s="9">
        <v>350</v>
      </c>
      <c r="H10" s="9" t="s">
        <v>49</v>
      </c>
      <c r="I10" s="9">
        <v>1</v>
      </c>
      <c r="J10" s="4">
        <v>33</v>
      </c>
      <c r="K10" s="4">
        <v>30</v>
      </c>
      <c r="L10" s="6">
        <f t="shared" si="0"/>
        <v>9.0909090909090939E-2</v>
      </c>
      <c r="M10" s="7" t="s">
        <v>26</v>
      </c>
      <c r="N10" s="7" t="s">
        <v>26</v>
      </c>
      <c r="O10" s="7" t="s">
        <v>26</v>
      </c>
      <c r="P10" s="7" t="s">
        <v>29</v>
      </c>
      <c r="Q10" s="7" t="s">
        <v>29</v>
      </c>
      <c r="R10" s="7" t="s">
        <v>29</v>
      </c>
      <c r="S10" s="7" t="s">
        <v>29</v>
      </c>
      <c r="T10" s="7" t="s">
        <v>29</v>
      </c>
    </row>
    <row r="11" spans="1:22" x14ac:dyDescent="0.2">
      <c r="A11" s="8" t="s">
        <v>64</v>
      </c>
      <c r="B11" s="8">
        <v>10</v>
      </c>
      <c r="C11" t="s">
        <v>28</v>
      </c>
      <c r="D11" s="5" t="s">
        <v>65</v>
      </c>
      <c r="E11" t="s">
        <v>3</v>
      </c>
      <c r="F11" t="s">
        <v>4</v>
      </c>
      <c r="G11" s="9">
        <v>350</v>
      </c>
      <c r="H11" s="9" t="s">
        <v>49</v>
      </c>
      <c r="I11" s="9">
        <v>1</v>
      </c>
      <c r="J11" s="4">
        <v>28</v>
      </c>
      <c r="K11" s="4">
        <v>26</v>
      </c>
      <c r="L11" s="6">
        <f t="shared" si="0"/>
        <v>7.1428571428571397E-2</v>
      </c>
      <c r="M11" s="7" t="s">
        <v>29</v>
      </c>
      <c r="N11" s="7" t="s">
        <v>26</v>
      </c>
      <c r="O11" s="7" t="s">
        <v>29</v>
      </c>
      <c r="P11" s="7" t="s">
        <v>29</v>
      </c>
      <c r="Q11" s="7" t="s">
        <v>29</v>
      </c>
      <c r="R11" s="7" t="s">
        <v>29</v>
      </c>
      <c r="S11" s="7" t="s">
        <v>29</v>
      </c>
      <c r="T11" s="7" t="s">
        <v>29</v>
      </c>
      <c r="V11" t="s">
        <v>115</v>
      </c>
    </row>
    <row r="12" spans="1:22" x14ac:dyDescent="0.2">
      <c r="A12" s="8" t="s">
        <v>66</v>
      </c>
      <c r="B12" s="8">
        <v>11</v>
      </c>
      <c r="C12" t="s">
        <v>28</v>
      </c>
      <c r="D12" s="5" t="s">
        <v>65</v>
      </c>
      <c r="E12" t="s">
        <v>5</v>
      </c>
      <c r="F12" t="s">
        <v>4</v>
      </c>
      <c r="G12" s="9">
        <v>350</v>
      </c>
      <c r="H12" s="9" t="s">
        <v>49</v>
      </c>
      <c r="I12" s="9">
        <v>1</v>
      </c>
      <c r="J12" s="4">
        <v>28</v>
      </c>
      <c r="K12" s="4">
        <v>26</v>
      </c>
      <c r="L12" s="6">
        <f t="shared" si="0"/>
        <v>7.1428571428571397E-2</v>
      </c>
      <c r="M12" s="7" t="s">
        <v>29</v>
      </c>
      <c r="N12" s="7" t="s">
        <v>26</v>
      </c>
      <c r="O12" s="7" t="s">
        <v>29</v>
      </c>
      <c r="P12" s="7" t="s">
        <v>29</v>
      </c>
      <c r="Q12" s="7" t="s">
        <v>29</v>
      </c>
      <c r="R12" s="7" t="s">
        <v>29</v>
      </c>
      <c r="S12" s="7" t="s">
        <v>29</v>
      </c>
      <c r="T12" s="7" t="s">
        <v>29</v>
      </c>
      <c r="V12" t="s">
        <v>116</v>
      </c>
    </row>
    <row r="13" spans="1:22" x14ac:dyDescent="0.2">
      <c r="A13" s="8" t="s">
        <v>67</v>
      </c>
      <c r="B13" s="8">
        <v>12</v>
      </c>
      <c r="C13" t="s">
        <v>28</v>
      </c>
      <c r="D13" s="5" t="s">
        <v>68</v>
      </c>
      <c r="E13" t="s">
        <v>6</v>
      </c>
      <c r="F13" t="s">
        <v>4</v>
      </c>
      <c r="G13" s="9">
        <v>350</v>
      </c>
      <c r="H13" s="9" t="s">
        <v>49</v>
      </c>
      <c r="I13" s="9">
        <v>1</v>
      </c>
      <c r="J13" s="4">
        <v>32</v>
      </c>
      <c r="K13" s="4">
        <v>28</v>
      </c>
      <c r="L13" s="6">
        <f t="shared" si="0"/>
        <v>0.125</v>
      </c>
      <c r="M13" s="7" t="s">
        <v>26</v>
      </c>
      <c r="N13" s="7" t="s">
        <v>26</v>
      </c>
      <c r="O13" s="7" t="s">
        <v>29</v>
      </c>
      <c r="P13" s="7" t="s">
        <v>29</v>
      </c>
      <c r="Q13" s="7" t="s">
        <v>29</v>
      </c>
      <c r="R13" s="7" t="s">
        <v>29</v>
      </c>
      <c r="S13" s="7" t="s">
        <v>29</v>
      </c>
      <c r="T13" s="7" t="s">
        <v>29</v>
      </c>
      <c r="V13" t="s">
        <v>117</v>
      </c>
    </row>
    <row r="14" spans="1:22" x14ac:dyDescent="0.2">
      <c r="A14" s="8" t="s">
        <v>69</v>
      </c>
      <c r="B14" s="8">
        <v>13</v>
      </c>
      <c r="C14" t="s">
        <v>28</v>
      </c>
      <c r="D14" s="5" t="s">
        <v>23</v>
      </c>
      <c r="E14" t="s">
        <v>7</v>
      </c>
      <c r="F14" t="s">
        <v>4</v>
      </c>
      <c r="G14" s="9">
        <v>350</v>
      </c>
      <c r="H14" s="9" t="s">
        <v>49</v>
      </c>
      <c r="I14" s="9">
        <v>1</v>
      </c>
      <c r="J14" s="4">
        <v>34</v>
      </c>
      <c r="K14" s="4">
        <v>30</v>
      </c>
      <c r="L14" s="6">
        <f t="shared" si="0"/>
        <v>0.11764705882352944</v>
      </c>
      <c r="M14" s="7" t="s">
        <v>29</v>
      </c>
      <c r="N14" s="7" t="s">
        <v>26</v>
      </c>
      <c r="O14" s="7" t="s">
        <v>29</v>
      </c>
      <c r="P14" s="7" t="s">
        <v>29</v>
      </c>
      <c r="Q14" s="7" t="s">
        <v>29</v>
      </c>
      <c r="R14" s="7" t="s">
        <v>29</v>
      </c>
      <c r="S14" s="7" t="s">
        <v>29</v>
      </c>
      <c r="T14" s="7" t="s">
        <v>29</v>
      </c>
      <c r="V14" t="s">
        <v>118</v>
      </c>
    </row>
    <row r="15" spans="1:22" x14ac:dyDescent="0.2">
      <c r="A15" s="8" t="s">
        <v>70</v>
      </c>
      <c r="B15" s="8">
        <v>14</v>
      </c>
      <c r="C15" t="s">
        <v>28</v>
      </c>
      <c r="D15" s="5" t="s">
        <v>22</v>
      </c>
      <c r="E15" t="s">
        <v>48</v>
      </c>
      <c r="F15" t="s">
        <v>4</v>
      </c>
      <c r="G15" s="9">
        <v>350</v>
      </c>
      <c r="H15" s="9" t="s">
        <v>49</v>
      </c>
      <c r="I15" s="9">
        <v>1</v>
      </c>
      <c r="J15" s="4">
        <v>38</v>
      </c>
      <c r="K15" s="4">
        <v>34</v>
      </c>
      <c r="L15" s="6">
        <f t="shared" si="0"/>
        <v>0.10526315789473684</v>
      </c>
      <c r="M15" s="7" t="s">
        <v>29</v>
      </c>
      <c r="N15" s="7" t="s">
        <v>26</v>
      </c>
      <c r="O15" s="7" t="s">
        <v>29</v>
      </c>
      <c r="P15" s="7" t="s">
        <v>29</v>
      </c>
      <c r="Q15" s="7" t="s">
        <v>29</v>
      </c>
      <c r="R15" s="7" t="s">
        <v>29</v>
      </c>
      <c r="S15" s="7" t="s">
        <v>29</v>
      </c>
      <c r="T15" s="7" t="s">
        <v>29</v>
      </c>
      <c r="V15" t="s">
        <v>114</v>
      </c>
    </row>
    <row r="16" spans="1:22" x14ac:dyDescent="0.2">
      <c r="A16" s="8" t="s">
        <v>71</v>
      </c>
      <c r="B16" s="8">
        <v>15</v>
      </c>
      <c r="C16" t="s">
        <v>28</v>
      </c>
      <c r="D16" s="5" t="s">
        <v>23</v>
      </c>
      <c r="E16" t="s">
        <v>8</v>
      </c>
      <c r="F16" t="s">
        <v>4</v>
      </c>
      <c r="G16" s="9">
        <v>350</v>
      </c>
      <c r="H16" s="9" t="s">
        <v>49</v>
      </c>
      <c r="I16" s="9">
        <v>1</v>
      </c>
      <c r="J16" s="4">
        <v>38</v>
      </c>
      <c r="K16" s="4">
        <v>34</v>
      </c>
      <c r="L16" s="6">
        <f t="shared" si="0"/>
        <v>0.10526315789473684</v>
      </c>
      <c r="M16" s="7" t="s">
        <v>29</v>
      </c>
      <c r="N16" s="7" t="s">
        <v>26</v>
      </c>
      <c r="O16" s="7" t="s">
        <v>29</v>
      </c>
      <c r="P16" s="7" t="s">
        <v>29</v>
      </c>
      <c r="Q16" s="7" t="s">
        <v>29</v>
      </c>
      <c r="R16" s="7" t="s">
        <v>29</v>
      </c>
      <c r="S16" s="7" t="s">
        <v>29</v>
      </c>
      <c r="T16" s="7" t="s">
        <v>29</v>
      </c>
      <c r="V16" t="s">
        <v>119</v>
      </c>
    </row>
    <row r="17" spans="1:22" x14ac:dyDescent="0.2">
      <c r="A17" s="8" t="s">
        <v>72</v>
      </c>
      <c r="B17" s="8">
        <v>16</v>
      </c>
      <c r="C17" t="s">
        <v>28</v>
      </c>
      <c r="D17" s="5" t="s">
        <v>23</v>
      </c>
      <c r="E17" t="s">
        <v>9</v>
      </c>
      <c r="F17" t="s">
        <v>4</v>
      </c>
      <c r="G17" s="9">
        <v>350</v>
      </c>
      <c r="H17" s="9" t="s">
        <v>49</v>
      </c>
      <c r="I17" s="9">
        <v>1</v>
      </c>
      <c r="J17" s="4">
        <v>38</v>
      </c>
      <c r="K17" s="4">
        <v>34</v>
      </c>
      <c r="L17" s="6">
        <f t="shared" si="0"/>
        <v>0.10526315789473684</v>
      </c>
      <c r="M17" s="7" t="s">
        <v>29</v>
      </c>
      <c r="N17" s="7" t="s">
        <v>26</v>
      </c>
      <c r="O17" s="7" t="s">
        <v>29</v>
      </c>
      <c r="P17" s="7" t="s">
        <v>29</v>
      </c>
      <c r="Q17" s="7" t="s">
        <v>29</v>
      </c>
      <c r="R17" s="7" t="s">
        <v>29</v>
      </c>
      <c r="S17" s="7" t="s">
        <v>29</v>
      </c>
      <c r="T17" s="7" t="s">
        <v>29</v>
      </c>
      <c r="V17" t="s">
        <v>120</v>
      </c>
    </row>
    <row r="18" spans="1:22" x14ac:dyDescent="0.2">
      <c r="A18" s="8" t="s">
        <v>73</v>
      </c>
      <c r="B18" s="8">
        <v>17</v>
      </c>
      <c r="C18" t="s">
        <v>28</v>
      </c>
      <c r="D18" s="5" t="s">
        <v>23</v>
      </c>
      <c r="E18" t="s">
        <v>10</v>
      </c>
      <c r="F18" t="s">
        <v>4</v>
      </c>
      <c r="G18" s="9">
        <v>350</v>
      </c>
      <c r="H18" s="9" t="s">
        <v>49</v>
      </c>
      <c r="I18" s="9">
        <v>1</v>
      </c>
      <c r="J18" s="4">
        <v>38</v>
      </c>
      <c r="K18" s="4">
        <v>34</v>
      </c>
      <c r="L18" s="6">
        <f t="shared" si="0"/>
        <v>0.10526315789473684</v>
      </c>
      <c r="M18" s="7" t="s">
        <v>29</v>
      </c>
      <c r="N18" s="7" t="s">
        <v>26</v>
      </c>
      <c r="O18" s="7" t="s">
        <v>29</v>
      </c>
      <c r="P18" s="7" t="s">
        <v>29</v>
      </c>
      <c r="Q18" s="7" t="s">
        <v>29</v>
      </c>
      <c r="R18" s="7" t="s">
        <v>29</v>
      </c>
      <c r="S18" s="7" t="s">
        <v>29</v>
      </c>
      <c r="T18" s="7" t="s">
        <v>29</v>
      </c>
    </row>
    <row r="19" spans="1:22" x14ac:dyDescent="0.2">
      <c r="A19" s="8" t="s">
        <v>74</v>
      </c>
      <c r="B19" s="8">
        <v>18</v>
      </c>
      <c r="C19" t="s">
        <v>30</v>
      </c>
      <c r="D19" s="5" t="s">
        <v>75</v>
      </c>
      <c r="E19" t="s">
        <v>76</v>
      </c>
      <c r="F19" t="s">
        <v>77</v>
      </c>
      <c r="G19" s="9">
        <v>10</v>
      </c>
      <c r="H19" s="9" t="s">
        <v>78</v>
      </c>
      <c r="I19" s="9">
        <v>1</v>
      </c>
      <c r="J19" s="4">
        <v>88</v>
      </c>
      <c r="K19" s="4">
        <v>78</v>
      </c>
      <c r="L19" s="6">
        <f t="shared" si="0"/>
        <v>0.11363636363636365</v>
      </c>
      <c r="M19" s="7" t="s">
        <v>29</v>
      </c>
      <c r="N19" s="7" t="s">
        <v>26</v>
      </c>
      <c r="O19" s="7" t="s">
        <v>29</v>
      </c>
      <c r="P19" s="7" t="s">
        <v>26</v>
      </c>
      <c r="Q19" s="7" t="s">
        <v>26</v>
      </c>
      <c r="R19" s="7" t="s">
        <v>29</v>
      </c>
      <c r="S19" s="7" t="s">
        <v>29</v>
      </c>
      <c r="T19" s="7" t="s">
        <v>29</v>
      </c>
    </row>
    <row r="20" spans="1:22" x14ac:dyDescent="0.2">
      <c r="A20" s="8" t="s">
        <v>79</v>
      </c>
      <c r="B20" s="8">
        <v>19</v>
      </c>
      <c r="C20" t="s">
        <v>30</v>
      </c>
      <c r="D20" s="5" t="s">
        <v>75</v>
      </c>
      <c r="E20" t="s">
        <v>11</v>
      </c>
      <c r="F20" t="s">
        <v>77</v>
      </c>
      <c r="G20" s="9">
        <v>10</v>
      </c>
      <c r="H20" s="9" t="s">
        <v>78</v>
      </c>
      <c r="I20" s="9">
        <v>1</v>
      </c>
      <c r="J20" s="4">
        <v>98</v>
      </c>
      <c r="K20" s="4">
        <v>88</v>
      </c>
      <c r="L20" s="6">
        <f t="shared" si="0"/>
        <v>0.10204081632653061</v>
      </c>
      <c r="M20" s="7" t="s">
        <v>29</v>
      </c>
      <c r="N20" s="7" t="s">
        <v>26</v>
      </c>
      <c r="O20" s="7" t="s">
        <v>29</v>
      </c>
      <c r="P20" s="7" t="s">
        <v>26</v>
      </c>
      <c r="Q20" s="7" t="s">
        <v>26</v>
      </c>
      <c r="R20" s="7" t="s">
        <v>29</v>
      </c>
      <c r="S20" s="7" t="s">
        <v>29</v>
      </c>
      <c r="T20" s="7" t="s">
        <v>29</v>
      </c>
    </row>
    <row r="21" spans="1:22" x14ac:dyDescent="0.2">
      <c r="A21" s="8" t="s">
        <v>80</v>
      </c>
      <c r="B21" s="8">
        <v>20</v>
      </c>
      <c r="C21" t="s">
        <v>30</v>
      </c>
      <c r="D21" s="5" t="s">
        <v>75</v>
      </c>
      <c r="E21" t="s">
        <v>81</v>
      </c>
      <c r="F21" t="s">
        <v>82</v>
      </c>
      <c r="G21" s="9">
        <v>20</v>
      </c>
      <c r="H21" s="9" t="s">
        <v>78</v>
      </c>
      <c r="I21" s="9">
        <v>1</v>
      </c>
      <c r="J21" s="4">
        <v>52</v>
      </c>
      <c r="K21" s="4">
        <v>48</v>
      </c>
      <c r="L21" s="6">
        <f t="shared" si="0"/>
        <v>7.6923076923076872E-2</v>
      </c>
      <c r="M21" s="7" t="s">
        <v>29</v>
      </c>
      <c r="N21" s="7" t="s">
        <v>26</v>
      </c>
      <c r="O21" s="7" t="s">
        <v>29</v>
      </c>
      <c r="P21" s="7" t="s">
        <v>26</v>
      </c>
      <c r="Q21" s="7" t="s">
        <v>26</v>
      </c>
      <c r="R21" s="7" t="s">
        <v>29</v>
      </c>
      <c r="S21" s="7" t="s">
        <v>29</v>
      </c>
      <c r="T21" s="7" t="s">
        <v>29</v>
      </c>
    </row>
    <row r="22" spans="1:22" x14ac:dyDescent="0.2">
      <c r="A22" s="8" t="s">
        <v>83</v>
      </c>
      <c r="B22" s="8">
        <v>21</v>
      </c>
      <c r="C22" t="s">
        <v>30</v>
      </c>
      <c r="D22" s="5" t="s">
        <v>84</v>
      </c>
      <c r="E22" t="s">
        <v>85</v>
      </c>
      <c r="F22" t="s">
        <v>113</v>
      </c>
      <c r="G22" s="9">
        <v>40</v>
      </c>
      <c r="H22" s="9" t="s">
        <v>86</v>
      </c>
      <c r="I22" s="9">
        <v>1</v>
      </c>
      <c r="J22" s="4">
        <v>120</v>
      </c>
      <c r="K22" s="4">
        <v>108</v>
      </c>
      <c r="L22" s="6">
        <f t="shared" si="0"/>
        <v>9.9999999999999978E-2</v>
      </c>
      <c r="M22" s="7" t="s">
        <v>26</v>
      </c>
      <c r="N22" s="7" t="s">
        <v>26</v>
      </c>
      <c r="O22" s="7" t="s">
        <v>29</v>
      </c>
      <c r="P22" s="7" t="s">
        <v>29</v>
      </c>
      <c r="Q22" s="7" t="s">
        <v>29</v>
      </c>
      <c r="R22" s="7" t="s">
        <v>29</v>
      </c>
      <c r="S22" s="7" t="s">
        <v>26</v>
      </c>
      <c r="T22" s="7" t="s">
        <v>26</v>
      </c>
    </row>
    <row r="23" spans="1:22" x14ac:dyDescent="0.2">
      <c r="A23" s="8" t="s">
        <v>87</v>
      </c>
      <c r="B23" s="8">
        <v>22</v>
      </c>
      <c r="C23" t="s">
        <v>30</v>
      </c>
      <c r="D23" s="5" t="s">
        <v>88</v>
      </c>
      <c r="E23" t="s">
        <v>12</v>
      </c>
      <c r="F23" t="s">
        <v>77</v>
      </c>
      <c r="G23" s="9">
        <v>10</v>
      </c>
      <c r="H23" s="9" t="s">
        <v>78</v>
      </c>
      <c r="I23" s="9">
        <v>1</v>
      </c>
      <c r="J23" s="4">
        <v>360</v>
      </c>
      <c r="K23" s="4">
        <v>320</v>
      </c>
      <c r="L23" s="6">
        <f t="shared" si="0"/>
        <v>0.11111111111111116</v>
      </c>
      <c r="M23" s="7" t="s">
        <v>29</v>
      </c>
      <c r="N23" s="7" t="s">
        <v>26</v>
      </c>
      <c r="O23" s="7" t="s">
        <v>26</v>
      </c>
      <c r="P23" s="7" t="s">
        <v>29</v>
      </c>
      <c r="Q23" s="7" t="s">
        <v>29</v>
      </c>
      <c r="R23" s="7" t="s">
        <v>29</v>
      </c>
      <c r="S23" s="7" t="s">
        <v>26</v>
      </c>
      <c r="T23" s="7" t="s">
        <v>29</v>
      </c>
      <c r="V23" t="s">
        <v>121</v>
      </c>
    </row>
    <row r="24" spans="1:22" x14ac:dyDescent="0.2">
      <c r="A24" s="8" t="s">
        <v>89</v>
      </c>
      <c r="B24" s="8">
        <v>23</v>
      </c>
      <c r="C24" t="s">
        <v>30</v>
      </c>
      <c r="D24" s="5" t="s">
        <v>90</v>
      </c>
      <c r="E24" t="s">
        <v>91</v>
      </c>
      <c r="F24" t="s">
        <v>13</v>
      </c>
      <c r="G24" s="9">
        <v>10</v>
      </c>
      <c r="H24" s="9" t="s">
        <v>92</v>
      </c>
      <c r="I24" s="9">
        <v>1</v>
      </c>
      <c r="J24" s="4">
        <v>138</v>
      </c>
      <c r="K24" s="4">
        <v>120</v>
      </c>
      <c r="L24" s="6">
        <f t="shared" si="0"/>
        <v>0.13043478260869568</v>
      </c>
      <c r="M24" s="7" t="s">
        <v>29</v>
      </c>
      <c r="N24" s="7" t="s">
        <v>26</v>
      </c>
      <c r="O24" s="7" t="s">
        <v>29</v>
      </c>
      <c r="P24" s="7" t="s">
        <v>26</v>
      </c>
      <c r="Q24" s="7" t="s">
        <v>26</v>
      </c>
      <c r="R24" s="7" t="s">
        <v>29</v>
      </c>
      <c r="S24" s="7" t="s">
        <v>29</v>
      </c>
      <c r="T24" s="7" t="s">
        <v>29</v>
      </c>
      <c r="V24" t="s">
        <v>122</v>
      </c>
    </row>
    <row r="25" spans="1:22" x14ac:dyDescent="0.2">
      <c r="A25" s="8" t="s">
        <v>93</v>
      </c>
      <c r="B25" s="8">
        <v>24</v>
      </c>
      <c r="C25" t="s">
        <v>30</v>
      </c>
      <c r="D25" s="5" t="s">
        <v>88</v>
      </c>
      <c r="E25" t="s">
        <v>14</v>
      </c>
      <c r="F25" t="s">
        <v>94</v>
      </c>
      <c r="G25" s="9">
        <v>5</v>
      </c>
      <c r="H25" s="9" t="s">
        <v>86</v>
      </c>
      <c r="I25" s="9">
        <v>1</v>
      </c>
      <c r="J25" s="4">
        <v>158</v>
      </c>
      <c r="K25" s="4">
        <v>138</v>
      </c>
      <c r="L25" s="6">
        <f t="shared" si="0"/>
        <v>0.12658227848101267</v>
      </c>
      <c r="M25" s="7" t="s">
        <v>26</v>
      </c>
      <c r="N25" s="7" t="s">
        <v>26</v>
      </c>
      <c r="O25" s="7" t="s">
        <v>29</v>
      </c>
      <c r="P25" s="7" t="s">
        <v>26</v>
      </c>
      <c r="Q25" s="7" t="s">
        <v>26</v>
      </c>
      <c r="R25" s="7" t="s">
        <v>29</v>
      </c>
      <c r="S25" s="7" t="s">
        <v>29</v>
      </c>
      <c r="T25" s="7" t="s">
        <v>29</v>
      </c>
      <c r="V25" t="s">
        <v>123</v>
      </c>
    </row>
    <row r="26" spans="1:22" x14ac:dyDescent="0.2">
      <c r="A26" s="8" t="s">
        <v>95</v>
      </c>
      <c r="B26" s="8">
        <v>25</v>
      </c>
      <c r="C26" t="s">
        <v>30</v>
      </c>
      <c r="D26" s="5" t="s">
        <v>88</v>
      </c>
      <c r="E26" t="s">
        <v>15</v>
      </c>
      <c r="F26" t="s">
        <v>94</v>
      </c>
      <c r="G26" s="9">
        <v>5</v>
      </c>
      <c r="H26" s="9" t="s">
        <v>86</v>
      </c>
      <c r="I26" s="9">
        <v>1</v>
      </c>
      <c r="J26" s="4">
        <v>368</v>
      </c>
      <c r="K26" s="4">
        <v>328</v>
      </c>
      <c r="L26" s="6">
        <f t="shared" si="0"/>
        <v>0.10869565217391308</v>
      </c>
      <c r="M26" s="7" t="s">
        <v>29</v>
      </c>
      <c r="N26" s="7" t="s">
        <v>26</v>
      </c>
      <c r="O26" s="7" t="s">
        <v>29</v>
      </c>
      <c r="P26" s="7" t="s">
        <v>26</v>
      </c>
      <c r="Q26" s="7" t="s">
        <v>26</v>
      </c>
      <c r="R26" s="7" t="s">
        <v>29</v>
      </c>
      <c r="S26" s="7" t="s">
        <v>29</v>
      </c>
      <c r="T26" s="7" t="s">
        <v>29</v>
      </c>
      <c r="V26" t="s">
        <v>124</v>
      </c>
    </row>
    <row r="27" spans="1:22" x14ac:dyDescent="0.2">
      <c r="A27" s="8" t="s">
        <v>96</v>
      </c>
      <c r="B27" s="8">
        <v>26</v>
      </c>
      <c r="C27" t="s">
        <v>30</v>
      </c>
      <c r="D27" s="5" t="s">
        <v>90</v>
      </c>
      <c r="E27" t="s">
        <v>97</v>
      </c>
      <c r="F27" t="s">
        <v>98</v>
      </c>
      <c r="G27" s="9">
        <v>15</v>
      </c>
      <c r="H27" s="9" t="s">
        <v>92</v>
      </c>
      <c r="I27" s="9">
        <v>1</v>
      </c>
      <c r="J27" s="4">
        <v>88</v>
      </c>
      <c r="K27" s="4">
        <v>80</v>
      </c>
      <c r="L27" s="6">
        <f t="shared" si="0"/>
        <v>9.0909090909090939E-2</v>
      </c>
      <c r="M27" s="7" t="s">
        <v>29</v>
      </c>
      <c r="N27" s="7" t="s">
        <v>26</v>
      </c>
      <c r="O27" s="7" t="s">
        <v>29</v>
      </c>
      <c r="P27" s="7" t="s">
        <v>26</v>
      </c>
      <c r="Q27" s="7" t="s">
        <v>26</v>
      </c>
      <c r="R27" s="7" t="s">
        <v>29</v>
      </c>
      <c r="S27" s="7" t="s">
        <v>29</v>
      </c>
      <c r="T27" s="7" t="s">
        <v>29</v>
      </c>
    </row>
    <row r="28" spans="1:22" x14ac:dyDescent="0.2">
      <c r="A28" s="8" t="s">
        <v>99</v>
      </c>
      <c r="B28" s="8">
        <v>27</v>
      </c>
      <c r="C28" t="s">
        <v>30</v>
      </c>
      <c r="D28" s="5" t="s">
        <v>90</v>
      </c>
      <c r="E28" t="s">
        <v>100</v>
      </c>
      <c r="F28" t="s">
        <v>98</v>
      </c>
      <c r="G28" s="9">
        <v>15</v>
      </c>
      <c r="H28" s="9" t="s">
        <v>92</v>
      </c>
      <c r="I28" s="9">
        <v>1</v>
      </c>
      <c r="J28" s="4">
        <v>98</v>
      </c>
      <c r="K28" s="4">
        <v>88</v>
      </c>
      <c r="L28" s="6">
        <f t="shared" si="0"/>
        <v>0.10204081632653061</v>
      </c>
      <c r="M28" s="7" t="s">
        <v>29</v>
      </c>
      <c r="N28" s="7" t="s">
        <v>26</v>
      </c>
      <c r="O28" s="7" t="s">
        <v>29</v>
      </c>
      <c r="P28" s="7" t="s">
        <v>26</v>
      </c>
      <c r="Q28" s="7" t="s">
        <v>29</v>
      </c>
      <c r="R28" s="7" t="s">
        <v>29</v>
      </c>
      <c r="S28" s="7" t="s">
        <v>29</v>
      </c>
      <c r="T28" s="7" t="s">
        <v>26</v>
      </c>
    </row>
    <row r="29" spans="1:22" x14ac:dyDescent="0.2">
      <c r="A29" s="8" t="s">
        <v>101</v>
      </c>
      <c r="B29" s="8">
        <v>28</v>
      </c>
      <c r="C29" t="s">
        <v>30</v>
      </c>
      <c r="D29" s="5" t="s">
        <v>102</v>
      </c>
      <c r="E29" t="s">
        <v>103</v>
      </c>
      <c r="F29" t="s">
        <v>104</v>
      </c>
      <c r="G29" s="9">
        <v>5</v>
      </c>
      <c r="H29" s="9" t="s">
        <v>105</v>
      </c>
      <c r="I29" s="9">
        <v>1</v>
      </c>
      <c r="J29" s="4">
        <v>98</v>
      </c>
      <c r="K29" s="4">
        <v>88</v>
      </c>
      <c r="L29" s="6">
        <f t="shared" si="0"/>
        <v>0.10204081632653061</v>
      </c>
      <c r="M29" s="7" t="s">
        <v>26</v>
      </c>
      <c r="N29" s="7" t="s">
        <v>26</v>
      </c>
      <c r="O29" s="7" t="s">
        <v>26</v>
      </c>
      <c r="P29" s="7" t="s">
        <v>29</v>
      </c>
      <c r="Q29" s="7" t="s">
        <v>29</v>
      </c>
      <c r="R29" s="7" t="s">
        <v>29</v>
      </c>
      <c r="S29" s="7" t="s">
        <v>29</v>
      </c>
      <c r="T29" s="7" t="s">
        <v>29</v>
      </c>
    </row>
    <row r="30" spans="1:22" x14ac:dyDescent="0.2">
      <c r="A30" s="8" t="s">
        <v>106</v>
      </c>
      <c r="B30" s="8">
        <v>29</v>
      </c>
      <c r="C30" t="s">
        <v>30</v>
      </c>
      <c r="D30" s="5" t="s">
        <v>102</v>
      </c>
      <c r="E30" t="s">
        <v>107</v>
      </c>
      <c r="F30" t="s">
        <v>104</v>
      </c>
      <c r="G30" s="9">
        <v>5</v>
      </c>
      <c r="H30" s="9" t="s">
        <v>105</v>
      </c>
      <c r="I30" s="9">
        <v>1</v>
      </c>
      <c r="J30" s="4">
        <v>98</v>
      </c>
      <c r="K30" s="4">
        <v>88</v>
      </c>
      <c r="L30" s="6">
        <f t="shared" si="0"/>
        <v>0.10204081632653061</v>
      </c>
      <c r="M30" s="7" t="s">
        <v>29</v>
      </c>
      <c r="N30" s="7" t="s">
        <v>26</v>
      </c>
      <c r="O30" s="7" t="s">
        <v>26</v>
      </c>
      <c r="P30" s="7" t="s">
        <v>29</v>
      </c>
      <c r="Q30" s="7" t="s">
        <v>29</v>
      </c>
      <c r="R30" s="7" t="s">
        <v>29</v>
      </c>
      <c r="S30" s="7" t="s">
        <v>29</v>
      </c>
      <c r="T30" s="7" t="s">
        <v>29</v>
      </c>
    </row>
    <row r="31" spans="1:22" x14ac:dyDescent="0.2">
      <c r="A31" s="8" t="s">
        <v>108</v>
      </c>
      <c r="B31" s="8">
        <v>30</v>
      </c>
      <c r="C31" t="s">
        <v>30</v>
      </c>
      <c r="D31" s="5" t="s">
        <v>102</v>
      </c>
      <c r="E31" t="s">
        <v>109</v>
      </c>
      <c r="F31" t="s">
        <v>110</v>
      </c>
      <c r="G31" s="9">
        <v>10</v>
      </c>
      <c r="H31" s="9" t="s">
        <v>105</v>
      </c>
      <c r="I31" s="9">
        <v>1</v>
      </c>
      <c r="J31" s="4">
        <v>120</v>
      </c>
      <c r="K31" s="4">
        <v>108</v>
      </c>
      <c r="L31" s="6">
        <f t="shared" si="0"/>
        <v>9.9999999999999978E-2</v>
      </c>
      <c r="M31" s="7" t="s">
        <v>29</v>
      </c>
      <c r="N31" s="7" t="s">
        <v>26</v>
      </c>
      <c r="O31" s="7" t="s">
        <v>29</v>
      </c>
      <c r="P31" s="7" t="s">
        <v>29</v>
      </c>
      <c r="Q31" s="7" t="s">
        <v>29</v>
      </c>
      <c r="R31" s="7" t="s">
        <v>29</v>
      </c>
      <c r="S31" s="7" t="s">
        <v>26</v>
      </c>
      <c r="T31" s="7" t="s">
        <v>29</v>
      </c>
      <c r="V31" t="s">
        <v>125</v>
      </c>
    </row>
    <row r="32" spans="1:22" x14ac:dyDescent="0.2">
      <c r="A32" s="8" t="s">
        <v>111</v>
      </c>
      <c r="B32" s="8">
        <v>31</v>
      </c>
      <c r="C32" t="s">
        <v>30</v>
      </c>
      <c r="D32" s="5" t="s">
        <v>102</v>
      </c>
      <c r="E32" t="s">
        <v>16</v>
      </c>
      <c r="F32" t="s">
        <v>110</v>
      </c>
      <c r="G32" s="9">
        <v>10</v>
      </c>
      <c r="H32" s="9" t="s">
        <v>105</v>
      </c>
      <c r="I32" s="9">
        <v>1</v>
      </c>
      <c r="J32" s="4">
        <v>98</v>
      </c>
      <c r="K32" s="4">
        <v>88</v>
      </c>
      <c r="L32" s="6">
        <f t="shared" si="0"/>
        <v>0.10204081632653061</v>
      </c>
      <c r="M32" s="7" t="s">
        <v>29</v>
      </c>
      <c r="N32" s="7" t="s">
        <v>26</v>
      </c>
      <c r="O32" s="7" t="s">
        <v>29</v>
      </c>
      <c r="P32" s="7" t="s">
        <v>29</v>
      </c>
      <c r="Q32" s="7" t="s">
        <v>26</v>
      </c>
      <c r="R32" s="7" t="s">
        <v>29</v>
      </c>
      <c r="S32" s="7" t="s">
        <v>29</v>
      </c>
      <c r="T32" s="7" t="s">
        <v>29</v>
      </c>
      <c r="V32" t="s">
        <v>126</v>
      </c>
    </row>
    <row r="33" spans="1:22" x14ac:dyDescent="0.2">
      <c r="A33" s="8" t="s">
        <v>112</v>
      </c>
      <c r="B33" s="8">
        <v>32</v>
      </c>
      <c r="C33" t="s">
        <v>30</v>
      </c>
      <c r="D33" s="5" t="s">
        <v>102</v>
      </c>
      <c r="E33" t="s">
        <v>17</v>
      </c>
      <c r="F33" t="s">
        <v>110</v>
      </c>
      <c r="G33" s="9">
        <v>10</v>
      </c>
      <c r="H33" s="9" t="s">
        <v>105</v>
      </c>
      <c r="I33" s="9">
        <v>1</v>
      </c>
      <c r="J33" s="4">
        <v>120</v>
      </c>
      <c r="K33" s="4">
        <v>108</v>
      </c>
      <c r="L33" s="6">
        <f t="shared" si="0"/>
        <v>9.9999999999999978E-2</v>
      </c>
      <c r="M33" s="7" t="s">
        <v>29</v>
      </c>
      <c r="N33" s="7" t="s">
        <v>26</v>
      </c>
      <c r="O33" s="7" t="s">
        <v>26</v>
      </c>
      <c r="P33" s="7" t="s">
        <v>29</v>
      </c>
      <c r="Q33" s="7" t="s">
        <v>29</v>
      </c>
      <c r="R33" s="7" t="s">
        <v>29</v>
      </c>
      <c r="S33" s="7" t="s">
        <v>29</v>
      </c>
      <c r="T33" s="7" t="s">
        <v>29</v>
      </c>
      <c r="V33" t="s">
        <v>127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124c4d3-434d-4642-b530-05b550c4edbe}" enabled="1" method="Standard" siteId="{4266ec6c-fe9f-4893-82e9-996189e0b8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c17377</dc:creator>
  <cp:lastModifiedBy>Wilson Lau</cp:lastModifiedBy>
  <dcterms:created xsi:type="dcterms:W3CDTF">2026-08-12T08:52:12Z</dcterms:created>
  <dcterms:modified xsi:type="dcterms:W3CDTF">2026-09-19T08:00:22Z</dcterms:modified>
</cp:coreProperties>
</file>